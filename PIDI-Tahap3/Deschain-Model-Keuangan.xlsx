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ngkasan" sheetId="1" state="visible" r:id="rId3"/>
    <sheet name="Grafik" sheetId="2" state="visible" r:id="rId4"/>
    <sheet name="UnitEconomics" sheetId="3" state="visible" r:id="rId5"/>
    <sheet name="Proyeksi" sheetId="4" state="visible" r:id="rId6"/>
    <sheet name="TAM-SAM-SOM" sheetId="5" state="visible" r:id="rId7"/>
    <sheet name="Asumsi-Sumb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<sst xmlns="http://schemas.openxmlformats.org/spreadsheetml/2006/main" count="113" uniqueCount="101">
  <si>
    <t xml:space="preserve">DESCHAIN — MODEL KELAYAKAN BISNIS &amp; PROYEKSI KEUANGAN</t>
  </si>
  <si>
    <t xml:space="preserve">PIDI Digdaya X Hackathon 2026 · skenario Konservatif / Basis / Optimis · semua angka = PROYEKSI berbasis asumsi</t>
  </si>
  <si>
    <t xml:space="preserve">VONIS KELAYAKAN (skenario Basis)</t>
  </si>
  <si>
    <t xml:space="preserve">LTV/CAC</t>
  </si>
  <si>
    <t xml:space="preserve">Payback period (bulan)</t>
  </si>
  <si>
    <t xml:space="preserve">Break-even operasional (UMKM aktif)</t>
  </si>
  <si>
    <t xml:space="preserve">Pendapatan Tahun 3 (Rp)</t>
  </si>
  <si>
    <t xml:space="preserve">EBITDA Tahun 3 (Rp)</t>
  </si>
  <si>
    <t xml:space="preserve">SOM 3 tahun (UMKM aktif)</t>
  </si>
  <si>
    <t xml:space="preserve">Potensi pendapatan SOM/tahun (Rp)</t>
  </si>
  <si>
    <t xml:space="preserve">Interpretasi ringkas:</t>
  </si>
  <si>
    <t xml:space="preserve">• LTV/CAC &gt; 3 = sehat. Basis ~ (lihat sel) menandakan unit economics kuat; Optimis sangat tinggi, Konservatif tetap layak.</t>
  </si>
  <si>
    <t xml:space="preserve">• Payback &lt; 12 bulan = modal akuisisi kembali cepat.</t>
  </si>
  <si>
    <t xml:space="preserve">• Break-even operasional tercapai di kisaran ribuan UMKM aktif — realistis dalam ~18–24 bulan.</t>
  </si>
  <si>
    <t xml:space="preserve">• Risiko utama: volume transaksi per UMKM (GMV) &amp; retensi belum terbukti; adopsi lending sektor grocery masih rendah (~3%).</t>
  </si>
  <si>
    <t xml:space="preserve">• Kesimpulan: MENJANJIKAN pada skenario Basis, DENGAN SYARAT density matching &amp; GMV per user terpenuhi lewat pilot.</t>
  </si>
  <si>
    <t xml:space="preserve">GRAFIK PROYEKSI (skenario Basis)</t>
  </si>
  <si>
    <t xml:space="preserve">Tahun</t>
  </si>
  <si>
    <t xml:space="preserve">Pendapatan (Rp)</t>
  </si>
  <si>
    <t xml:space="preserve">EBITDA (Rp)</t>
  </si>
  <si>
    <t xml:space="preserve">Tahun 1</t>
  </si>
  <si>
    <t xml:space="preserve">Tahun 2</t>
  </si>
  <si>
    <t xml:space="preserve">Tahun 3</t>
  </si>
  <si>
    <t xml:space="preserve">UMKM aktif (akhir)</t>
  </si>
  <si>
    <t xml:space="preserve">Skenario</t>
  </si>
  <si>
    <t xml:space="preserve">LTV/CAC (x)</t>
  </si>
  <si>
    <t xml:space="preserve">Konservatif</t>
  </si>
  <si>
    <t xml:space="preserve">Basis</t>
  </si>
  <si>
    <t xml:space="preserve">Optimis</t>
  </si>
  <si>
    <t xml:space="preserve">UNIT ECONOMICS PER UMKM (3 SKENARIO)</t>
  </si>
  <si>
    <t xml:space="preserve">Metrik</t>
  </si>
  <si>
    <t xml:space="preserve">Catatan / Sumber</t>
  </si>
  <si>
    <t xml:space="preserve">GMV / UMKM aktif / bulan (Rp)</t>
  </si>
  <si>
    <t xml:space="preserve">Porsi pengadaan lewat platform; warung belanja stok Rp7–21jt/bln (~70% omzet). Sumber: kiosbank.id, ukmindonesia.id</t>
  </si>
  <si>
    <t xml:space="preserve">Take rate (fee transaksi)</t>
  </si>
  <si>
    <t xml:space="preserve">Take rate B2B Indonesia 1,5–2,0%; range global 0,1–3%. Sumber: BCG, a16z, ASEAN Digital Economy 2025</t>
  </si>
  <si>
    <t xml:space="preserve">Fee transaksi / bulan (Rp)</t>
  </si>
  <si>
    <t xml:space="preserve">Subscription ARPU / bulan (Rp)</t>
  </si>
  <si>
    <t xml:space="preserve">Freemium; blended lintas free+paid (paid Rp99K–999K).</t>
  </si>
  <si>
    <t xml:space="preserve">ARPU total / bulan (Rp)</t>
  </si>
  <si>
    <t xml:space="preserve">Gross margin</t>
  </si>
  <si>
    <t xml:space="preserve">Setelah payment, cloud, support. Software-driven.</t>
  </si>
  <si>
    <t xml:space="preserve">Kontribusi / UMKM / bulan (Rp)</t>
  </si>
  <si>
    <t xml:space="preserve">Churn bulanan</t>
  </si>
  <si>
    <t xml:space="preserve">Konservatif 5% (umur ~20 bln) → Optimis 2,8% (~36 bln).</t>
  </si>
  <si>
    <t xml:space="preserve">Umur pelanggan (bulan)</t>
  </si>
  <si>
    <t xml:space="preserve">LTV (Rp)</t>
  </si>
  <si>
    <t xml:space="preserve">CAC (Rp)</t>
  </si>
  <si>
    <t xml:space="preserve">Onboarding via koperasi/WhatsApp (low CAC).</t>
  </si>
  <si>
    <t xml:space="preserve">LTV / CAC (x)</t>
  </si>
  <si>
    <t xml:space="preserve">PROYEKSI KEUANGAN 3 TAHUN (skenario Basis)</t>
  </si>
  <si>
    <t xml:space="preserve">Item</t>
  </si>
  <si>
    <t xml:space="preserve">UMKM aktif — awal tahun</t>
  </si>
  <si>
    <t xml:space="preserve">UMKM aktif — akhir tahun</t>
  </si>
  <si>
    <t xml:space="preserve">UMKM aktif — rata-rata</t>
  </si>
  <si>
    <t xml:space="preserve">ARPU / bulan (Rp, Basis)</t>
  </si>
  <si>
    <t xml:space="preserve">Pendapatan tahunan (Rp)</t>
  </si>
  <si>
    <t xml:space="preserve">Biaya tetap tahunan (Rp)</t>
  </si>
  <si>
    <t xml:space="preserve">UMKM baru (akuisisi)</t>
  </si>
  <si>
    <t xml:space="preserve">Biaya akuisisi (Rp)</t>
  </si>
  <si>
    <t xml:space="preserve">Total biaya (Rp)</t>
  </si>
  <si>
    <t xml:space="preserve">Margin EBITDA</t>
  </si>
  <si>
    <t xml:space="preserve">BREAK-EVEN OPERASIONAL (skenario Basis)</t>
  </si>
  <si>
    <t xml:space="preserve">Biaya tetap per bulan (Rp) — basis Tahun 2</t>
  </si>
  <si>
    <t xml:space="preserve">Break-even = UMKM aktif dibutuhkan</t>
  </si>
  <si>
    <t xml:space="preserve">(= biaya tetap bln / kontribusi per UMKM bln; belum termasuk amortisasi CAC)</t>
  </si>
  <si>
    <t xml:space="preserve">UKURAN PASAR (TAM / SAM / SOM)</t>
  </si>
  <si>
    <t xml:space="preserve">TAM — UMKM nasional</t>
  </si>
  <si>
    <t xml:space="preserve">Sumber: OJK Institute 2025 / Kemenko Perekonomian</t>
  </si>
  <si>
    <t xml:space="preserve">SAM — % sektor target terjangkau digital</t>
  </si>
  <si>
    <t xml:space="preserve">Kuliner/ritel/bahan pokok yang digital-reachable (asumsi konservatif)</t>
  </si>
  <si>
    <t xml:space="preserve">SAM — UMKM</t>
  </si>
  <si>
    <t xml:space="preserve">SOM — target 3 tahun (UMKM aktif)</t>
  </si>
  <si>
    <t xml:space="preserve">Target Deschain 3 tahun</t>
  </si>
  <si>
    <t xml:space="preserve">Penetrasi SOM terhadap SAM</t>
  </si>
  <si>
    <t xml:space="preserve">Sangat konservatif → ruang tumbuh besar</t>
  </si>
  <si>
    <t xml:space="preserve">ARPU tahunan (Rp, Basis)</t>
  </si>
  <si>
    <t xml:space="preserve">Potensi pendapatan SOM / tahun (Rp)</t>
  </si>
  <si>
    <t xml:space="preserve">Potensi pendapatan bila 5% SAM (Rp)</t>
  </si>
  <si>
    <t xml:space="preserve">Skala menengah — ilustrasi ceiling</t>
  </si>
  <si>
    <t xml:space="preserve">ASUMSI &amp; SUMBER</t>
  </si>
  <si>
    <t xml:space="preserve">Semua angka adalah PROYEKSI berbasis asumsi, bukan realisasi.</t>
  </si>
  <si>
    <t xml:space="preserve">Sel KUNING = input yang bisa Anda ubah.</t>
  </si>
  <si>
    <t xml:space="preserve">Belanja stok warung mikro</t>
  </si>
  <si>
    <t xml:space="preserve">Rp7–21 juta/bulan (~70% omzet). kiosbank.id; ukmindonesia.id</t>
  </si>
  <si>
    <t xml:space="preserve">Take rate B2B Indonesia</t>
  </si>
  <si>
    <t xml:space="preserve">1,5–2,0% (koridor ASEAN); global 0,1–3%. BCG 2023; a16z; asialifestylemagazine.com</t>
  </si>
  <si>
    <t xml:space="preserve">Adopsi lending sektor grocery</t>
  </si>
  <si>
    <t xml:space="preserve">~3% (rendah) → monetisasi pembiayaan = jangka panjang. asialifestylemagazine.com</t>
  </si>
  <si>
    <t xml:space="preserve">Benchmark GPO/group buying</t>
  </si>
  <si>
    <t xml:space="preserve">Hemat rata-rata 13,1%; B2B 10–30%. bizequals.com; thrivebg.com</t>
  </si>
  <si>
    <t xml:space="preserve">Benchmark alt-credit (Konfio)</t>
  </si>
  <si>
    <t xml:space="preserve">98,6% otomatis; gap SME $160B. reademergent.com; accion.org; IFC</t>
  </si>
  <si>
    <t xml:space="preserve">LTV/CAC sehat</t>
  </si>
  <si>
    <t xml:space="preserve">&gt;3 (aturan umum SaaS/fintech).</t>
  </si>
  <si>
    <t xml:space="preserve">UMKM nasional / PDB / tenaga kerja</t>
  </si>
  <si>
    <t xml:space="preserve">65,5 jt; 61,9% PDB; 97% kerja. OJK Institute 2025; ekon.go.id</t>
  </si>
  <si>
    <t xml:space="preserve">Kredit UMKM vs korporasi (Mar 2025)</t>
  </si>
  <si>
    <t xml:space="preserve">~1,9% vs 13,52%, memburuk jadi kontraksi akhir 2025. Bank Indonesia; Kompas</t>
  </si>
  <si>
    <t xml:space="preserve">Regulasi pendukung</t>
  </si>
  <si>
    <t xml:space="preserve">POJK 29/2024 (ICS) &amp; POJK 19/2025. ojk.go.id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</si>
</sst>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#,##0"/>
    <numFmt numFmtId="167" formatCode="#,##0;\(#,##0\);\-"/>
    <numFmt numFmtId="168" formatCode="0.0"/>
    <numFmt numFmtId="169" formatCode="0.0%"/>
    <numFmt numFmtId="170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Pendapatan &amp; EBITDA per Tahun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Grafik!C4</c:f>
              <c:strCache>
                <c:ptCount val="1"/>
                <c:pt idx="0">
                  <c:v>Pendapatan (Rp)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Grafik!$B$5:$B$7</c:f>
              <c:strCache>
                <c:ptCount val="3"/>
                <c:pt idx="0">
                  <c:v>Tahun 1</c:v>
                </c:pt>
                <c:pt idx="1">
                  <c:v>Tahun 2</c:v>
                </c:pt>
                <c:pt idx="2">
                  <c:v>Tahun 3</c:v>
                </c:pt>
              </c:strCache>
            </c:strRef>
          </c:cat>
          <c:val>
            <c:numRef>
              <c:f>Grafik!$C$5:$C$7</c:f>
              <c:numCache>
                <c:formatCode>#,##0</c:formatCode>
                <c:ptCount val="3"/>
                <c:pt idx="0">
                  <c:v>429000000</c:v>
                </c:pt>
                <c:pt idx="1">
                  <c:v>4290000000</c:v>
                </c:pt>
                <c:pt idx="2">
                  <c:v>23400000000</c:v>
                </c:pt>
              </c:numCache>
            </c:numRef>
          </c:val>
        </c:ser>
        <c:ser>
          <c:idx val="1"/>
          <c:order val="1"/>
          <c:tx>
            <c:strRef>
              <c:f>Grafik!D4</c:f>
              <c:strCache>
                <c:ptCount val="1"/>
                <c:pt idx="0">
                  <c:v>EBITDA (Rp)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Grafik!$B$5:$B$7</c:f>
              <c:strCache>
                <c:ptCount val="3"/>
                <c:pt idx="0">
                  <c:v>Tahun 1</c:v>
                </c:pt>
                <c:pt idx="1">
                  <c:v>Tahun 2</c:v>
                </c:pt>
                <c:pt idx="2">
                  <c:v>Tahun 3</c:v>
                </c:pt>
              </c:strCache>
            </c:strRef>
          </c:cat>
          <c:val>
            <c:numRef>
              <c:f>Grafik!$D$5:$D$7</c:f>
              <c:numCache>
                <c:formatCode>#,##0</c:formatCode>
                <c:ptCount val="3"/>
                <c:pt idx="0">
                  <c:v>-279000000</c:v>
                </c:pt>
                <c:pt idx="1">
                  <c:v>1710000000</c:v>
                </c:pt>
                <c:pt idx="2">
                  <c:v>14600000000</c:v>
                </c:pt>
              </c:numCache>
            </c:numRef>
          </c:val>
        </c:ser>
        <c:gapWidth val="150"/>
        <c:overlap val="0"/>
        <c:axId val="82962389"/>
        <c:axId val="45870940"/>
      </c:barChart>
      <c:catAx>
        <c:axId val="829623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870940"/>
        <c:crosses val="autoZero"/>
        <c:auto val="1"/>
        <c:lblAlgn val="ctr"/>
        <c:lblOffset val="100"/>
        <c:noMultiLvlLbl val="0"/>
      </c:catAx>
      <c:valAx>
        <c:axId val="458709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9623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Pertumbuhan UMKM Aktif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Grafik!C10</c:f>
              <c:strCache>
                <c:ptCount val="1"/>
                <c:pt idx="0">
                  <c:v>UMKM aktif (akhir)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Grafik!$B$11:$B$13</c:f>
              <c:strCache>
                <c:ptCount val="3"/>
                <c:pt idx="0">
                  <c:v>Tahun 1</c:v>
                </c:pt>
                <c:pt idx="1">
                  <c:v>Tahun 2</c:v>
                </c:pt>
                <c:pt idx="2">
                  <c:v>Tahun 3</c:v>
                </c:pt>
              </c:strCache>
            </c:strRef>
          </c:cat>
          <c:val>
            <c:numRef>
              <c:f>Grafik!$C$11:$C$13</c:f>
              <c:numCache>
                <c:formatCode>#,##0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225917"/>
        <c:axId val="7134348"/>
      </c:lineChart>
      <c:catAx>
        <c:axId val="21225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4348"/>
        <c:crosses val="autoZero"/>
        <c:auto val="1"/>
        <c:lblAlgn val="ctr"/>
        <c:lblOffset val="100"/>
        <c:noMultiLvlLbl val="0"/>
      </c:catAx>
      <c:valAx>
        <c:axId val="71343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UMKM aktif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2259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LTV/CAC per Skenario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Grafik!C16</c:f>
              <c:strCache>
                <c:ptCount val="1"/>
                <c:pt idx="0">
                  <c:v>LTV/CAC (x)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Grafik!$B$17:$B$19</c:f>
              <c:strCache>
                <c:ptCount val="3"/>
                <c:pt idx="0">
                  <c:v>Konservatif</c:v>
                </c:pt>
                <c:pt idx="1">
                  <c:v>Basis</c:v>
                </c:pt>
                <c:pt idx="2">
                  <c:v>Optimis</c:v>
                </c:pt>
              </c:strCache>
            </c:strRef>
          </c:cat>
          <c:val>
            <c:numRef>
              <c:f>Grafik!$C$17:$C$19</c:f>
              <c:numCache>
                <c:formatCode>0.0</c:formatCode>
                <c:ptCount val="3"/>
                <c:pt idx="0">
                  <c:v>2.4</c:v>
                </c:pt>
                <c:pt idx="1">
                  <c:v>10.5324074074074</c:v>
                </c:pt>
                <c:pt idx="2">
                  <c:v>37.5</c:v>
                </c:pt>
              </c:numCache>
            </c:numRef>
          </c:val>
        </c:ser>
        <c:gapWidth val="150"/>
        <c:overlap val="0"/>
        <c:axId val="82069709"/>
        <c:axId val="49312339"/>
      </c:barChart>
      <c:catAx>
        <c:axId val="820697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Skenario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12339"/>
        <c:crosses val="autoZero"/>
        <c:auto val="1"/>
        <c:lblAlgn val="ctr"/>
        <c:lblOffset val="100"/>
        <c:noMultiLvlLbl val="0"/>
      </c:catAx>
      <c:valAx>
        <c:axId val="493123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0697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12</xdr:col>
      <xdr:colOff>399240</xdr:colOff>
      <xdr:row>17</xdr:row>
      <xdr:rowOff>32400</xdr:rowOff>
    </xdr:to>
    <xdr:graphicFrame>
      <xdr:nvGraphicFramePr>
        <xdr:cNvPr id="1" name="Chart 1"/>
        <xdr:cNvGraphicFramePr/>
      </xdr:nvGraphicFramePr>
      <xdr:xfrm>
        <a:off x="4276800" y="6012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12</xdr:col>
      <xdr:colOff>399240</xdr:colOff>
      <xdr:row>33</xdr:row>
      <xdr:rowOff>32760</xdr:rowOff>
    </xdr:to>
    <xdr:graphicFrame>
      <xdr:nvGraphicFramePr>
        <xdr:cNvPr id="2" name="Chart 2"/>
        <xdr:cNvGraphicFramePr/>
      </xdr:nvGraphicFramePr>
      <xdr:xfrm>
        <a:off x="4276800" y="36493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12</xdr:col>
      <xdr:colOff>399240</xdr:colOff>
      <xdr:row>49</xdr:row>
      <xdr:rowOff>32760</xdr:rowOff>
    </xdr:to>
    <xdr:graphicFrame>
      <xdr:nvGraphicFramePr>
        <xdr:cNvPr id="3" name="Chart 3"/>
        <xdr:cNvGraphicFramePr/>
      </xdr:nvGraphicFramePr>
      <xdr:xfrm>
        <a:off x="4276800" y="6697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4"/>
    <col collapsed="false" customWidth="true" hidden="false" outlineLevel="0" max="4" min="4" style="1" width="2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/>
    </row>
    <row r="6" customFormat="false" ht="15" hidden="false" customHeight="true" outlineLevel="0" collapsed="false">
      <c r="B6" s="5" t="s">
        <v>2</v>
      </c>
    </row>
    <row r="7" customFormat="false" ht="15" hidden="false" customHeight="true" outlineLevel="0" collapsed="false">
      <c r="B7" s="4" t="s">
        <v>3</v>
      </c>
      <c r="D7" s="6" t="n">
        <f aca="false">UnitEconomics!D15</f>
        <v>120000</v>
      </c>
    </row>
    <row r="8" customFormat="false" ht="15" hidden="false" customHeight="true" outlineLevel="0" collapsed="false">
      <c r="B8" s="4" t="s">
        <v>4</v>
      </c>
      <c r="D8" s="7" t="n">
        <f aca="false">UnitEconomics!D16</f>
        <v>2.63736263736264</v>
      </c>
    </row>
    <row r="9" customFormat="false" ht="15" hidden="false" customHeight="true" outlineLevel="0" collapsed="false">
      <c r="B9" s="4" t="s">
        <v>5</v>
      </c>
      <c r="D9" s="7" t="n">
        <f aca="false">Proyeksi!C20</f>
        <v>2747.25274725275</v>
      </c>
    </row>
    <row r="10" customFormat="false" ht="15" hidden="false" customHeight="true" outlineLevel="0" collapsed="false">
      <c r="B10" s="4" t="s">
        <v>6</v>
      </c>
      <c r="D10" s="8" t="n">
        <f aca="false">Proyeksi!E9</f>
        <v>23400000000</v>
      </c>
    </row>
    <row r="11" customFormat="false" ht="15" hidden="false" customHeight="true" outlineLevel="0" collapsed="false">
      <c r="B11" s="4" t="s">
        <v>7</v>
      </c>
      <c r="D11" s="8" t="n">
        <f aca="false">Proyeksi!E14</f>
        <v>14600000000</v>
      </c>
    </row>
    <row r="12" customFormat="false" ht="15" hidden="false" customHeight="true" outlineLevel="0" collapsed="false">
      <c r="B12" s="4" t="s">
        <v>8</v>
      </c>
      <c r="D12" s="7" t="n">
        <f aca="false">'TAM-SAM-SOM'!C7</f>
        <v>50000</v>
      </c>
    </row>
    <row r="13" customFormat="false" ht="15" hidden="false" customHeight="true" outlineLevel="0" collapsed="false">
      <c r="B13" s="4" t="s">
        <v>9</v>
      </c>
      <c r="D13" s="8" t="n">
        <f aca="false">'TAM-SAM-SOM'!C10</f>
        <v>39000000000</v>
      </c>
    </row>
    <row r="15" customFormat="false" ht="15" hidden="false" customHeight="true" outlineLevel="0" collapsed="false">
      <c r="B15" s="5" t="s">
        <v>10</v>
      </c>
    </row>
    <row r="16" customFormat="false" ht="15" hidden="false" customHeight="true" outlineLevel="0" collapsed="false">
      <c r="B16" s="9" t="s">
        <v>11</v>
      </c>
    </row>
    <row r="17" customFormat="false" ht="15" hidden="false" customHeight="true" outlineLevel="0" collapsed="false">
      <c r="B17" s="9" t="s">
        <v>12</v>
      </c>
    </row>
    <row r="18" customFormat="false" ht="15" hidden="false" customHeight="true" outlineLevel="0" collapsed="false">
      <c r="B18" s="9" t="s">
        <v>13</v>
      </c>
    </row>
    <row r="19" customFormat="false" ht="15" hidden="false" customHeight="true" outlineLevel="0" collapsed="false">
      <c r="B19" s="9" t="s">
        <v>14</v>
      </c>
    </row>
    <row r="20" customFormat="false" ht="15" hidden="false" customHeight="true" outlineLevel="0" collapsed="false">
      <c r="B20" s="9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8"/>
  </cols>
  <sheetData>
    <row r="2" customFormat="false" ht="17.35" hidden="false" customHeight="false" outlineLevel="0" collapsed="false">
      <c r="B2" s="10" t="s">
        <v>16</v>
      </c>
    </row>
    <row r="4" customFormat="false" ht="15" hidden="false" customHeight="false" outlineLevel="0" collapsed="false">
      <c r="B4" s="11" t="s">
        <v>17</v>
      </c>
      <c r="C4" s="11" t="s">
        <v>18</v>
      </c>
      <c r="D4" s="11" t="s">
        <v>19</v>
      </c>
    </row>
    <row r="5" customFormat="false" ht="15" hidden="false" customHeight="false" outlineLevel="0" collapsed="false">
      <c r="B5" s="0" t="s">
        <v>20</v>
      </c>
      <c r="C5" s="12" t="n">
        <f aca="false">Proyeksi!C9</f>
        <v>429000000</v>
      </c>
      <c r="D5" s="12" t="n">
        <f aca="false">Proyeksi!C14</f>
        <v>-279000000</v>
      </c>
    </row>
    <row r="6" customFormat="false" ht="15" hidden="false" customHeight="false" outlineLevel="0" collapsed="false">
      <c r="B6" s="0" t="s">
        <v>21</v>
      </c>
      <c r="C6" s="12" t="n">
        <f aca="false">Proyeksi!D9</f>
        <v>4290000000</v>
      </c>
      <c r="D6" s="12" t="n">
        <f aca="false">Proyeksi!D14</f>
        <v>1710000000</v>
      </c>
    </row>
    <row r="7" customFormat="false" ht="15" hidden="false" customHeight="false" outlineLevel="0" collapsed="false">
      <c r="B7" s="0" t="s">
        <v>22</v>
      </c>
      <c r="C7" s="12" t="n">
        <f aca="false">Proyeksi!E9</f>
        <v>23400000000</v>
      </c>
      <c r="D7" s="12" t="n">
        <f aca="false">Proyeksi!E14</f>
        <v>14600000000</v>
      </c>
    </row>
    <row r="10" customFormat="false" ht="15" hidden="false" customHeight="false" outlineLevel="0" collapsed="false">
      <c r="B10" s="11" t="s">
        <v>17</v>
      </c>
      <c r="C10" s="11" t="s">
        <v>23</v>
      </c>
    </row>
    <row r="11" customFormat="false" ht="15" hidden="false" customHeight="false" outlineLevel="0" collapsed="false">
      <c r="B11" s="0" t="s">
        <v>20</v>
      </c>
      <c r="C11" s="12" t="n">
        <f aca="false">Proyeksi!C6</f>
        <v>1000</v>
      </c>
    </row>
    <row r="12" customFormat="false" ht="15" hidden="false" customHeight="false" outlineLevel="0" collapsed="false">
      <c r="B12" s="0" t="s">
        <v>21</v>
      </c>
      <c r="C12" s="12" t="n">
        <f aca="false">Proyeksi!D6</f>
        <v>10000</v>
      </c>
    </row>
    <row r="13" customFormat="false" ht="15" hidden="false" customHeight="false" outlineLevel="0" collapsed="false">
      <c r="B13" s="0" t="s">
        <v>22</v>
      </c>
      <c r="C13" s="12" t="n">
        <f aca="false">Proyeksi!E6</f>
        <v>50000</v>
      </c>
    </row>
    <row r="16" customFormat="false" ht="15" hidden="false" customHeight="false" outlineLevel="0" collapsed="false">
      <c r="B16" s="11" t="s">
        <v>24</v>
      </c>
      <c r="C16" s="11" t="s">
        <v>25</v>
      </c>
    </row>
    <row r="17" customFormat="false" ht="15" hidden="false" customHeight="false" outlineLevel="0" collapsed="false">
      <c r="B17" s="0" t="s">
        <v>26</v>
      </c>
      <c r="C17" s="13" t="n">
        <f aca="false">UnitEconomics!C17</f>
        <v>2.4</v>
      </c>
    </row>
    <row r="18" customFormat="false" ht="15" hidden="false" customHeight="false" outlineLevel="0" collapsed="false">
      <c r="B18" s="0" t="s">
        <v>27</v>
      </c>
      <c r="C18" s="13" t="n">
        <f aca="false">UnitEconomics!D17</f>
        <v>10.5324074074074</v>
      </c>
    </row>
    <row r="19" customFormat="false" ht="15" hidden="false" customHeight="false" outlineLevel="0" collapsed="false">
      <c r="B19" s="0" t="s">
        <v>28</v>
      </c>
      <c r="C19" s="13" t="n">
        <f aca="false">UnitEconomics!E17</f>
        <v>37.5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5"/>
    <col collapsed="false" customWidth="true" hidden="false" outlineLevel="0" max="6" min="6" style="1" width="52"/>
  </cols>
  <sheetData>
    <row r="2" customFormat="false" ht="17.25" hidden="false" customHeight="true" outlineLevel="0" collapsed="false">
      <c r="B2" s="2" t="s">
        <v>29</v>
      </c>
    </row>
    <row r="4" customFormat="false" ht="15" hidden="false" customHeight="true" outlineLevel="0" collapsed="false">
      <c r="B4" s="14" t="s">
        <v>30</v>
      </c>
      <c r="C4" s="14" t="s">
        <v>26</v>
      </c>
      <c r="D4" s="14" t="s">
        <v>27</v>
      </c>
      <c r="E4" s="14" t="s">
        <v>28</v>
      </c>
      <c r="F4" s="14" t="s">
        <v>31</v>
      </c>
    </row>
    <row r="5" customFormat="false" ht="15" hidden="false" customHeight="true" outlineLevel="0" collapsed="false">
      <c r="B5" s="15" t="s">
        <v>32</v>
      </c>
      <c r="C5" s="16" t="n">
        <v>2000000</v>
      </c>
      <c r="D5" s="16" t="n">
        <v>3000000</v>
      </c>
      <c r="E5" s="16" t="n">
        <v>5000000</v>
      </c>
      <c r="F5" s="17" t="s">
        <v>33</v>
      </c>
    </row>
    <row r="6" customFormat="false" ht="15" hidden="false" customHeight="true" outlineLevel="0" collapsed="false">
      <c r="B6" s="15" t="s">
        <v>34</v>
      </c>
      <c r="C6" s="18" t="n">
        <v>0.01</v>
      </c>
      <c r="D6" s="18" t="n">
        <v>0.015</v>
      </c>
      <c r="E6" s="18" t="n">
        <v>0.02</v>
      </c>
      <c r="F6" s="17" t="s">
        <v>35</v>
      </c>
    </row>
    <row r="7" customFormat="false" ht="15" hidden="false" customHeight="true" outlineLevel="0" collapsed="false">
      <c r="B7" s="15" t="s">
        <v>36</v>
      </c>
      <c r="C7" s="19" t="n">
        <f aca="false">C5*C6</f>
        <v>20000</v>
      </c>
      <c r="D7" s="19" t="n">
        <f aca="false">D5*D6</f>
        <v>45000</v>
      </c>
      <c r="E7" s="19" t="n">
        <f aca="false">E5*E6</f>
        <v>100000</v>
      </c>
      <c r="F7" s="17" t="e">
        <f aca="false">gmv × take rate</f>
        <v>#N/A</v>
      </c>
    </row>
    <row r="8" customFormat="false" ht="15" hidden="false" customHeight="true" outlineLevel="0" collapsed="false">
      <c r="B8" s="15" t="s">
        <v>37</v>
      </c>
      <c r="C8" s="16" t="n">
        <v>10000</v>
      </c>
      <c r="D8" s="16" t="n">
        <v>20000</v>
      </c>
      <c r="E8" s="16" t="n">
        <v>40000</v>
      </c>
      <c r="F8" s="17" t="s">
        <v>38</v>
      </c>
    </row>
    <row r="9" customFormat="false" ht="15" hidden="false" customHeight="true" outlineLevel="0" collapsed="false">
      <c r="B9" s="15" t="s">
        <v>39</v>
      </c>
      <c r="C9" s="19" t="n">
        <f aca="false">C7+C8</f>
        <v>30000</v>
      </c>
      <c r="D9" s="19" t="n">
        <f aca="false">D7+D8</f>
        <v>65000</v>
      </c>
      <c r="E9" s="19" t="n">
        <f aca="false">E7+E8</f>
        <v>140000</v>
      </c>
      <c r="F9" s="17" t="e">
        <f aca="false">fee + subscription</f>
        <v>#NAME?</v>
      </c>
    </row>
    <row r="10" customFormat="false" ht="15" hidden="false" customHeight="true" outlineLevel="0" collapsed="false">
      <c r="B10" s="15" t="s">
        <v>40</v>
      </c>
      <c r="C10" s="18" t="n">
        <v>0.6</v>
      </c>
      <c r="D10" s="18" t="n">
        <v>0.7</v>
      </c>
      <c r="E10" s="18" t="n">
        <v>0.75</v>
      </c>
      <c r="F10" s="17" t="s">
        <v>41</v>
      </c>
    </row>
    <row r="11" customFormat="false" ht="15" hidden="false" customHeight="true" outlineLevel="0" collapsed="false">
      <c r="B11" s="15" t="s">
        <v>42</v>
      </c>
      <c r="C11" s="19" t="n">
        <f aca="false">C9*C10</f>
        <v>18000</v>
      </c>
      <c r="D11" s="19" t="n">
        <f aca="false">D9*D10</f>
        <v>45500</v>
      </c>
      <c r="E11" s="19" t="n">
        <f aca="false">E9*E10</f>
        <v>105000</v>
      </c>
      <c r="F11" s="17" t="e">
        <f aca="false">arpu × gross margin</f>
        <v>#N/A</v>
      </c>
    </row>
    <row r="12" customFormat="false" ht="15" hidden="false" customHeight="true" outlineLevel="0" collapsed="false">
      <c r="B12" s="15" t="s">
        <v>43</v>
      </c>
      <c r="C12" s="18" t="n">
        <v>0.05</v>
      </c>
      <c r="D12" s="18" t="n">
        <v>0.036</v>
      </c>
      <c r="E12" s="18" t="n">
        <v>0.028</v>
      </c>
      <c r="F12" s="17" t="s">
        <v>44</v>
      </c>
    </row>
    <row r="13" customFormat="false" ht="15" hidden="false" customHeight="true" outlineLevel="0" collapsed="false">
      <c r="B13" s="15" t="s">
        <v>45</v>
      </c>
      <c r="C13" s="20" t="n">
        <f aca="false">1/C12</f>
        <v>20</v>
      </c>
      <c r="D13" s="20" t="n">
        <f aca="false">1/D12</f>
        <v>27.7777777777778</v>
      </c>
      <c r="E13" s="20" t="n">
        <f aca="false">1/E12</f>
        <v>35.7142857142857</v>
      </c>
      <c r="F13" s="17" t="e">
        <f aca="false">1 / churn bulanan</f>
        <v>#VALUE!</v>
      </c>
    </row>
    <row r="14" customFormat="false" ht="15" hidden="false" customHeight="true" outlineLevel="0" collapsed="false">
      <c r="B14" s="15" t="s">
        <v>46</v>
      </c>
      <c r="C14" s="19" t="n">
        <f aca="false">C11*C13</f>
        <v>360000</v>
      </c>
      <c r="D14" s="19" t="n">
        <f aca="false">D11*D13</f>
        <v>1263888.88888889</v>
      </c>
      <c r="E14" s="19" t="n">
        <f aca="false">E11*E13</f>
        <v>3750000</v>
      </c>
      <c r="F14" s="17" t="e">
        <f aca="false">kontribusi/bln × umur pelanggan</f>
        <v>#N/A</v>
      </c>
    </row>
    <row r="15" customFormat="false" ht="15" hidden="false" customHeight="true" outlineLevel="0" collapsed="false">
      <c r="B15" s="15" t="s">
        <v>47</v>
      </c>
      <c r="C15" s="16" t="n">
        <v>150000</v>
      </c>
      <c r="D15" s="16" t="n">
        <v>120000</v>
      </c>
      <c r="E15" s="16" t="n">
        <v>100000</v>
      </c>
      <c r="F15" s="17" t="s">
        <v>48</v>
      </c>
    </row>
    <row r="16" customFormat="false" ht="15" hidden="false" customHeight="true" outlineLevel="0" collapsed="false">
      <c r="B16" s="21" t="s">
        <v>4</v>
      </c>
      <c r="C16" s="20" t="n">
        <f aca="false">C15/C11</f>
        <v>8.33333333333333</v>
      </c>
      <c r="D16" s="20" t="n">
        <f aca="false">D15/D11</f>
        <v>2.63736263736264</v>
      </c>
      <c r="E16" s="20" t="n">
        <f aca="false">E15/E11</f>
        <v>0.952380952380952</v>
      </c>
      <c r="F16" s="17" t="e">
        <f aca="false">cac / kontribusi per bulan</f>
        <v>#VALUE!</v>
      </c>
    </row>
    <row r="17" customFormat="false" ht="15" hidden="false" customHeight="true" outlineLevel="0" collapsed="false">
      <c r="B17" s="21" t="s">
        <v>49</v>
      </c>
      <c r="C17" s="22" t="n">
        <f aca="false">C14/C15</f>
        <v>2.4</v>
      </c>
      <c r="D17" s="22" t="n">
        <f aca="false">D14/D15</f>
        <v>10.5324074074074</v>
      </c>
      <c r="E17" s="22" t="n">
        <f aca="false">E14/E15</f>
        <v>37.5</v>
      </c>
      <c r="F17" s="3" t="e">
        <f aca="false">ltv / cac. &gt;3 sehat.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5" min="3" style="1" width="18"/>
  </cols>
  <sheetData>
    <row r="2" customFormat="false" ht="17.25" hidden="false" customHeight="true" outlineLevel="0" collapsed="false">
      <c r="B2" s="2" t="s">
        <v>50</v>
      </c>
    </row>
    <row r="4" customFormat="false" ht="15" hidden="false" customHeight="true" outlineLevel="0" collapsed="false">
      <c r="B4" s="14" t="s">
        <v>51</v>
      </c>
      <c r="C4" s="14" t="s">
        <v>20</v>
      </c>
      <c r="D4" s="14" t="s">
        <v>21</v>
      </c>
      <c r="E4" s="14" t="s">
        <v>22</v>
      </c>
    </row>
    <row r="5" customFormat="false" ht="15" hidden="false" customHeight="true" outlineLevel="0" collapsed="false">
      <c r="B5" s="15" t="s">
        <v>52</v>
      </c>
      <c r="C5" s="23" t="n">
        <f aca="false">100</f>
        <v>100</v>
      </c>
      <c r="D5" s="23" t="n">
        <f aca="false">C6</f>
        <v>1000</v>
      </c>
      <c r="E5" s="23" t="n">
        <f aca="false">D6</f>
        <v>10000</v>
      </c>
    </row>
    <row r="6" customFormat="false" ht="15" hidden="false" customHeight="true" outlineLevel="0" collapsed="false">
      <c r="B6" s="15" t="s">
        <v>53</v>
      </c>
      <c r="C6" s="24" t="n">
        <v>1000</v>
      </c>
      <c r="D6" s="24" t="n">
        <v>10000</v>
      </c>
      <c r="E6" s="24" t="n">
        <v>50000</v>
      </c>
    </row>
    <row r="7" customFormat="false" ht="15" hidden="false" customHeight="true" outlineLevel="0" collapsed="false">
      <c r="B7" s="15" t="s">
        <v>54</v>
      </c>
      <c r="C7" s="23" t="n">
        <f aca="false">(C5+C6)/2</f>
        <v>550</v>
      </c>
      <c r="D7" s="23" t="n">
        <f aca="false">(D5+D6)/2</f>
        <v>5500</v>
      </c>
      <c r="E7" s="23" t="n">
        <f aca="false">(E5+E6)/2</f>
        <v>30000</v>
      </c>
    </row>
    <row r="8" customFormat="false" ht="15" hidden="false" customHeight="true" outlineLevel="0" collapsed="false">
      <c r="B8" s="15" t="s">
        <v>55</v>
      </c>
      <c r="C8" s="25" t="n">
        <f aca="false">UnitEconomics!$D$9</f>
        <v>65000</v>
      </c>
      <c r="D8" s="25" t="n">
        <f aca="false">UnitEconomics!$D$9</f>
        <v>65000</v>
      </c>
      <c r="E8" s="25" t="n">
        <f aca="false">UnitEconomics!$D$9</f>
        <v>65000</v>
      </c>
    </row>
    <row r="9" customFormat="false" ht="15" hidden="false" customHeight="true" outlineLevel="0" collapsed="false">
      <c r="B9" s="21" t="s">
        <v>56</v>
      </c>
      <c r="C9" s="19" t="n">
        <f aca="false">C7*C8*12</f>
        <v>429000000</v>
      </c>
      <c r="D9" s="19" t="n">
        <f aca="false">D7*D8*12</f>
        <v>4290000000</v>
      </c>
      <c r="E9" s="19" t="n">
        <f aca="false">E7*E8*12</f>
        <v>23400000000</v>
      </c>
    </row>
    <row r="10" customFormat="false" ht="15" hidden="false" customHeight="true" outlineLevel="0" collapsed="false">
      <c r="B10" s="15" t="s">
        <v>57</v>
      </c>
      <c r="C10" s="16" t="n">
        <v>600000000</v>
      </c>
      <c r="D10" s="16" t="n">
        <v>1500000000</v>
      </c>
      <c r="E10" s="16" t="n">
        <v>4000000000</v>
      </c>
    </row>
    <row r="11" customFormat="false" ht="15" hidden="false" customHeight="true" outlineLevel="0" collapsed="false">
      <c r="B11" s="15" t="s">
        <v>58</v>
      </c>
      <c r="C11" s="23" t="n">
        <f aca="false">C6-C5</f>
        <v>900</v>
      </c>
      <c r="D11" s="23" t="n">
        <f aca="false">D6-D5</f>
        <v>9000</v>
      </c>
      <c r="E11" s="23" t="n">
        <f aca="false">E6-E5</f>
        <v>40000</v>
      </c>
    </row>
    <row r="12" customFormat="false" ht="15" hidden="false" customHeight="true" outlineLevel="0" collapsed="false">
      <c r="B12" s="15" t="s">
        <v>59</v>
      </c>
      <c r="C12" s="19" t="n">
        <f aca="false">C11*UnitEconomics!$D$15</f>
        <v>108000000</v>
      </c>
      <c r="D12" s="19" t="n">
        <f aca="false">D11*UnitEconomics!$D$15</f>
        <v>1080000000</v>
      </c>
      <c r="E12" s="19" t="n">
        <f aca="false">E11*UnitEconomics!$D$15</f>
        <v>4800000000</v>
      </c>
    </row>
    <row r="13" customFormat="false" ht="15" hidden="false" customHeight="true" outlineLevel="0" collapsed="false">
      <c r="B13" s="15" t="s">
        <v>60</v>
      </c>
      <c r="C13" s="19" t="n">
        <f aca="false">C10+C12</f>
        <v>708000000</v>
      </c>
      <c r="D13" s="19" t="n">
        <f aca="false">D10+D12</f>
        <v>2580000000</v>
      </c>
      <c r="E13" s="19" t="n">
        <f aca="false">E10+E12</f>
        <v>8800000000</v>
      </c>
    </row>
    <row r="14" customFormat="false" ht="15" hidden="false" customHeight="true" outlineLevel="0" collapsed="false">
      <c r="B14" s="21" t="s">
        <v>19</v>
      </c>
      <c r="C14" s="19" t="n">
        <f aca="false">C9-C13</f>
        <v>-279000000</v>
      </c>
      <c r="D14" s="19" t="n">
        <f aca="false">D9-D13</f>
        <v>1710000000</v>
      </c>
      <c r="E14" s="19" t="n">
        <f aca="false">E9-E13</f>
        <v>14600000000</v>
      </c>
    </row>
    <row r="15" customFormat="false" ht="15" hidden="false" customHeight="true" outlineLevel="0" collapsed="false">
      <c r="B15" s="15" t="s">
        <v>61</v>
      </c>
      <c r="C15" s="26" t="n">
        <f aca="false">C14/C9</f>
        <v>-0.65034965034965</v>
      </c>
      <c r="D15" s="26" t="n">
        <f aca="false">D14/D9</f>
        <v>0.398601398601399</v>
      </c>
      <c r="E15" s="26" t="n">
        <f aca="false">E14/E9</f>
        <v>0.623931623931624</v>
      </c>
    </row>
    <row r="18" customFormat="false" ht="15" hidden="false" customHeight="true" outlineLevel="0" collapsed="false">
      <c r="B18" s="5" t="s">
        <v>62</v>
      </c>
    </row>
    <row r="19" customFormat="false" ht="15" hidden="false" customHeight="true" outlineLevel="0" collapsed="false">
      <c r="B19" s="15" t="s">
        <v>63</v>
      </c>
      <c r="C19" s="19" t="n">
        <f aca="false">D10/12</f>
        <v>125000000</v>
      </c>
    </row>
    <row r="20" customFormat="false" ht="15" hidden="false" customHeight="true" outlineLevel="0" collapsed="false">
      <c r="B20" s="21" t="s">
        <v>64</v>
      </c>
      <c r="C20" s="27" t="n">
        <f aca="false">C19/UnitEconomics!$D$11</f>
        <v>2747.25274725275</v>
      </c>
    </row>
    <row r="21" customFormat="false" ht="15" hidden="false" customHeight="true" outlineLevel="0" collapsed="false">
      <c r="B21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52"/>
  </cols>
  <sheetData>
    <row r="2" customFormat="false" ht="17.25" hidden="false" customHeight="true" outlineLevel="0" collapsed="false">
      <c r="B2" s="2" t="s">
        <v>66</v>
      </c>
    </row>
    <row r="4" customFormat="false" ht="15" hidden="false" customHeight="true" outlineLevel="0" collapsed="false">
      <c r="B4" s="15" t="s">
        <v>67</v>
      </c>
      <c r="C4" s="24" t="n">
        <v>65500000</v>
      </c>
      <c r="D4" s="3" t="s">
        <v>68</v>
      </c>
    </row>
    <row r="5" customFormat="false" ht="15" hidden="false" customHeight="true" outlineLevel="0" collapsed="false">
      <c r="B5" s="15" t="s">
        <v>69</v>
      </c>
      <c r="C5" s="18" t="n">
        <v>0.2</v>
      </c>
      <c r="D5" s="3" t="s">
        <v>70</v>
      </c>
    </row>
    <row r="6" customFormat="false" ht="15" hidden="false" customHeight="true" outlineLevel="0" collapsed="false">
      <c r="B6" s="21" t="s">
        <v>71</v>
      </c>
      <c r="C6" s="23" t="n">
        <f aca="false">C4*C5</f>
        <v>13100000</v>
      </c>
      <c r="D6" s="3" t="e">
        <f aca="false">tam × %</f>
        <v>#N/A</v>
      </c>
    </row>
    <row r="7" customFormat="false" ht="15" hidden="false" customHeight="true" outlineLevel="0" collapsed="false">
      <c r="B7" s="15" t="s">
        <v>72</v>
      </c>
      <c r="C7" s="24" t="n">
        <v>50000</v>
      </c>
      <c r="D7" s="3" t="s">
        <v>73</v>
      </c>
    </row>
    <row r="8" customFormat="false" ht="15" hidden="false" customHeight="true" outlineLevel="0" collapsed="false">
      <c r="B8" s="15" t="s">
        <v>74</v>
      </c>
      <c r="C8" s="28" t="n">
        <f aca="false">C7/C6</f>
        <v>0.00381679389312977</v>
      </c>
      <c r="D8" s="3" t="s">
        <v>75</v>
      </c>
    </row>
    <row r="9" customFormat="false" ht="15" hidden="false" customHeight="true" outlineLevel="0" collapsed="false">
      <c r="B9" s="15" t="s">
        <v>76</v>
      </c>
      <c r="C9" s="25" t="n">
        <f aca="false">UnitEconomics!D9*12</f>
        <v>780000</v>
      </c>
      <c r="D9" s="3" t="e">
        <f aca="false">arpu bln × 12</f>
        <v>#N/A</v>
      </c>
    </row>
    <row r="10" customFormat="false" ht="15" hidden="false" customHeight="true" outlineLevel="0" collapsed="false">
      <c r="B10" s="21" t="s">
        <v>77</v>
      </c>
      <c r="C10" s="19" t="n">
        <f aca="false">C7*C9</f>
        <v>39000000000</v>
      </c>
      <c r="D10" s="3" t="e">
        <f aca="false">som × ARPU tahunan</f>
        <v>#N/A</v>
      </c>
    </row>
    <row r="11" customFormat="false" ht="15" hidden="false" customHeight="true" outlineLevel="0" collapsed="false">
      <c r="B11" s="15" t="s">
        <v>78</v>
      </c>
      <c r="C11" s="19" t="n">
        <f aca="false">C6*0.05*C9</f>
        <v>510900000000</v>
      </c>
      <c r="D11" s="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2"/>
    <col collapsed="false" customWidth="true" hidden="false" outlineLevel="0" max="4" min="4" style="1" width="70"/>
  </cols>
  <sheetData>
    <row r="2" customFormat="false" ht="17.25" hidden="false" customHeight="true" outlineLevel="0" collapsed="false">
      <c r="B2" s="2" t="s">
        <v>80</v>
      </c>
    </row>
    <row r="4" customFormat="false" ht="15" hidden="false" customHeight="true" outlineLevel="0" collapsed="false">
      <c r="B4" s="5" t="s">
        <v>81</v>
      </c>
      <c r="D4" s="29"/>
    </row>
    <row r="5" customFormat="false" ht="15" hidden="false" customHeight="true" outlineLevel="0" collapsed="false">
      <c r="B5" s="4" t="s">
        <v>82</v>
      </c>
      <c r="D5" s="29"/>
    </row>
    <row r="6" customFormat="false" ht="15" hidden="false" customHeight="true" outlineLevel="0" collapsed="false">
      <c r="B6" s="4"/>
      <c r="D6" s="29"/>
    </row>
    <row r="7" customFormat="false" ht="15" hidden="false" customHeight="true" outlineLevel="0" collapsed="false">
      <c r="B7" s="4" t="s">
        <v>83</v>
      </c>
      <c r="D7" s="29" t="s">
        <v>84</v>
      </c>
    </row>
    <row r="8" customFormat="false" ht="15" hidden="false" customHeight="true" outlineLevel="0" collapsed="false">
      <c r="B8" s="4" t="s">
        <v>85</v>
      </c>
      <c r="D8" s="29" t="s">
        <v>86</v>
      </c>
    </row>
    <row r="9" customFormat="false" ht="15" hidden="false" customHeight="true" outlineLevel="0" collapsed="false">
      <c r="B9" s="4" t="s">
        <v>87</v>
      </c>
      <c r="D9" s="29" t="s">
        <v>88</v>
      </c>
    </row>
    <row r="10" customFormat="false" ht="15" hidden="false" customHeight="true" outlineLevel="0" collapsed="false">
      <c r="B10" s="4" t="s">
        <v>89</v>
      </c>
      <c r="D10" s="29" t="s">
        <v>90</v>
      </c>
    </row>
    <row r="11" customFormat="false" ht="15" hidden="false" customHeight="true" outlineLevel="0" collapsed="false">
      <c r="B11" s="4" t="s">
        <v>91</v>
      </c>
      <c r="D11" s="29" t="s">
        <v>92</v>
      </c>
    </row>
    <row r="12" customFormat="false" ht="15" hidden="false" customHeight="true" outlineLevel="0" collapsed="false">
      <c r="B12" s="4" t="s">
        <v>93</v>
      </c>
      <c r="D12" s="29" t="s">
        <v>94</v>
      </c>
    </row>
    <row r="13" customFormat="false" ht="15" hidden="false" customHeight="true" outlineLevel="0" collapsed="false">
      <c r="B13" s="4" t="s">
        <v>95</v>
      </c>
      <c r="D13" s="29" t="s">
        <v>96</v>
      </c>
    </row>
    <row r="14" customFormat="false" ht="15" hidden="false" customHeight="true" outlineLevel="0" collapsed="false">
      <c r="B14" s="4" t="s">
        <v>97</v>
      </c>
      <c r="D14" s="29" t="s">
        <v>98</v>
      </c>
    </row>
    <row r="15" customFormat="false" ht="15" hidden="false" customHeight="true" outlineLevel="0" collapsed="false">
      <c r="B15" s="4" t="s">
        <v>99</v>
      </c>
      <c r="D15" s="29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2026-07-25T20:57:24Z</dcterms:created>
  <dc:creator>openpyxl</dc:creator>
  <dc:description/>
  <dc:language>en-US</dc:language>
  <cp:lastModifiedBy/>
  <dcterms:modified xsi:type="dcterms:W3CDTF">2026-07-25T21:07:27Z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